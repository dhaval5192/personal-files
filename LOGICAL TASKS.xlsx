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34\Desktop\Dhaval\"/>
    </mc:Choice>
  </mc:AlternateContent>
  <xr:revisionPtr revIDLastSave="0" documentId="13_ncr:1_{82AD3D69-3135-4063-A80F-49DCE2DF28B4}" xr6:coauthVersionLast="47" xr6:coauthVersionMax="47" xr10:uidLastSave="{00000000-0000-0000-0000-000000000000}"/>
  <bookViews>
    <workbookView xWindow="-120" yWindow="-120" windowWidth="29040" windowHeight="15720" xr2:uid="{32CC782C-205B-4E1A-89C0-E769B2BBDD61}"/>
  </bookViews>
  <sheets>
    <sheet name="Task 1 IF" sheetId="1" r:id="rId1"/>
    <sheet name="TASK 2 IF" sheetId="2" r:id="rId2"/>
    <sheet name="TASK 3 END" sheetId="3" r:id="rId3"/>
    <sheet name="task 6 discount" sheetId="4" r:id="rId4"/>
    <sheet name="V LOOKUP" sheetId="5" r:id="rId5"/>
    <sheet name="h look up" sheetId="6" r:id="rId6"/>
    <sheet name="SUM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14" i="7" l="1"/>
  <c r="E12" i="7"/>
  <c r="E22" i="7"/>
  <c r="E16" i="7"/>
  <c r="E18" i="7"/>
  <c r="E20" i="7"/>
  <c r="F12" i="7"/>
  <c r="C12" i="6"/>
  <c r="C17" i="5"/>
  <c r="F27" i="5"/>
  <c r="C24" i="5"/>
  <c r="E20" i="5"/>
  <c r="B13" i="5"/>
  <c r="B23" i="5" s="1"/>
  <c r="C20" i="5"/>
  <c r="B20" i="5"/>
  <c r="C13" i="5"/>
  <c r="C23" i="5" s="1"/>
  <c r="E2" i="3"/>
  <c r="D5" i="2"/>
  <c r="D6" i="2"/>
  <c r="D7" i="2"/>
  <c r="D4" i="2"/>
  <c r="D3" i="2"/>
  <c r="D2" i="2"/>
  <c r="D6" i="1"/>
  <c r="D7" i="1"/>
  <c r="D5" i="1"/>
  <c r="D4" i="1"/>
  <c r="D3" i="1"/>
  <c r="D2" i="1"/>
  <c r="D20" i="5" l="1"/>
  <c r="E13" i="5"/>
  <c r="E23" i="5" s="1"/>
  <c r="D13" i="5"/>
  <c r="F13" i="5" s="1"/>
  <c r="F20" i="5"/>
  <c r="D23" i="5" l="1"/>
  <c r="F23" i="5" s="1"/>
</calcChain>
</file>

<file path=xl/sharedStrings.xml><?xml version="1.0" encoding="utf-8"?>
<sst xmlns="http://schemas.openxmlformats.org/spreadsheetml/2006/main" count="226" uniqueCount="98">
  <si>
    <t>Roll no</t>
  </si>
  <si>
    <t>Student Name</t>
  </si>
  <si>
    <t>Marks</t>
  </si>
  <si>
    <t>Result</t>
  </si>
  <si>
    <t>Aman</t>
  </si>
  <si>
    <t>Bharti</t>
  </si>
  <si>
    <t>Chetan</t>
  </si>
  <si>
    <t>Deepa</t>
  </si>
  <si>
    <t>Farhan</t>
  </si>
  <si>
    <t>Gaurav</t>
  </si>
  <si>
    <t>Grade</t>
  </si>
  <si>
    <t>ROHIT</t>
  </si>
  <si>
    <t>SIMRAN</t>
  </si>
  <si>
    <t>VIJAY</t>
  </si>
  <si>
    <t>NISHA</t>
  </si>
  <si>
    <t>ARJUN</t>
  </si>
  <si>
    <t>ELIGIBLE / NOT</t>
  </si>
  <si>
    <t>Exepirence</t>
  </si>
  <si>
    <t>Customer Name</t>
  </si>
  <si>
    <t>Purchase Amount</t>
  </si>
  <si>
    <t>Membership</t>
  </si>
  <si>
    <t>Discount</t>
  </si>
  <si>
    <t>Aakash</t>
  </si>
  <si>
    <t>No</t>
  </si>
  <si>
    <t>Bhavna</t>
  </si>
  <si>
    <t>Rohan</t>
  </si>
  <si>
    <t>Yes</t>
  </si>
  <si>
    <t>Divya</t>
  </si>
  <si>
    <t>Sr no.</t>
  </si>
  <si>
    <t>EmployeeID</t>
  </si>
  <si>
    <t>Name</t>
  </si>
  <si>
    <t>Department</t>
  </si>
  <si>
    <t>Location</t>
  </si>
  <si>
    <t>Salary</t>
  </si>
  <si>
    <t>JoiningYear</t>
  </si>
  <si>
    <t>E101</t>
  </si>
  <si>
    <t>Rahul Sharma</t>
  </si>
  <si>
    <t>Sales</t>
  </si>
  <si>
    <t>Mumbai</t>
  </si>
  <si>
    <t>E102</t>
  </si>
  <si>
    <t>Ananya Gupta</t>
  </si>
  <si>
    <t>HR</t>
  </si>
  <si>
    <t>Delhi</t>
  </si>
  <si>
    <t>E103</t>
  </si>
  <si>
    <t>Rohit Verma</t>
  </si>
  <si>
    <t>IT</t>
  </si>
  <si>
    <t>Bangalore</t>
  </si>
  <si>
    <t>E104</t>
  </si>
  <si>
    <t>Neha Singh</t>
  </si>
  <si>
    <t>Finance</t>
  </si>
  <si>
    <t>Pune</t>
  </si>
  <si>
    <t>E105</t>
  </si>
  <si>
    <t>Aman Kumar</t>
  </si>
  <si>
    <t>Marketing</t>
  </si>
  <si>
    <t>E106</t>
  </si>
  <si>
    <t>Pooja Mehta</t>
  </si>
  <si>
    <t>Chennai</t>
  </si>
  <si>
    <t>E107</t>
  </si>
  <si>
    <t>Suresh Rao</t>
  </si>
  <si>
    <t>Hyderabad</t>
  </si>
  <si>
    <t>E108</t>
  </si>
  <si>
    <t>Kavita Iyer</t>
  </si>
  <si>
    <t>Bonus %</t>
  </si>
  <si>
    <t>NAME</t>
  </si>
  <si>
    <t>DEPARTMENT</t>
  </si>
  <si>
    <t>SELLERY</t>
  </si>
  <si>
    <t>IF ERROR</t>
  </si>
  <si>
    <t>joining year</t>
  </si>
  <si>
    <t>Banglore</t>
  </si>
  <si>
    <t>BONUS</t>
  </si>
  <si>
    <t>Order_ID</t>
  </si>
  <si>
    <t>Salesperson</t>
  </si>
  <si>
    <t>Region</t>
  </si>
  <si>
    <t>Product</t>
  </si>
  <si>
    <t>Sales_Amount</t>
  </si>
  <si>
    <t>Quantity</t>
  </si>
  <si>
    <t>Amit</t>
  </si>
  <si>
    <t>West</t>
  </si>
  <si>
    <t>Laptop</t>
  </si>
  <si>
    <t>Neha</t>
  </si>
  <si>
    <t>North</t>
  </si>
  <si>
    <t>Mobile</t>
  </si>
  <si>
    <t>Raj</t>
  </si>
  <si>
    <t>South</t>
  </si>
  <si>
    <t>Tablet</t>
  </si>
  <si>
    <t>Priya</t>
  </si>
  <si>
    <t>Karan</t>
  </si>
  <si>
    <t>East</t>
  </si>
  <si>
    <t>Sneha</t>
  </si>
  <si>
    <t>Rahul</t>
  </si>
  <si>
    <t>Pooja</t>
  </si>
  <si>
    <t>Vikram</t>
  </si>
  <si>
    <t>Anjali</t>
  </si>
  <si>
    <t>TASK 3</t>
  </si>
  <si>
    <t>TASK 4</t>
  </si>
  <si>
    <t>TASK 5</t>
  </si>
  <si>
    <t>TASK 1 &amp;2</t>
  </si>
  <si>
    <t>task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</si>
</sst>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1F2328"/>
      <name val="Segoe UI"/>
      <family val="2"/>
    </font>
    <font>
      <sz val="12"/>
      <color rgb="FF1F2328"/>
      <name val="Segoe UI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2"/>
      <color rgb="FF1F2328"/>
      <name val="Segoe UI"/>
      <family val="2"/>
    </font>
    <font>
      <b/>
      <sz val="12"/>
      <color rgb="FF1F2328"/>
      <name val="Segoe UI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1D9E0"/>
      </left>
      <right style="medium">
        <color rgb="FFD1D9E0"/>
      </right>
      <top/>
      <bottom/>
      <diagonal/>
    </border>
    <border>
      <left/>
      <right style="medium">
        <color rgb="FFD1D9E0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/>
    <xf numFmtId="0" fontId="2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right" vertical="center" wrapText="1" indent="1"/>
    </xf>
    <xf numFmtId="0" fontId="3" fillId="2" borderId="1" xfId="0" applyFont="1" applyFill="1" applyBorder="1" applyAlignment="1">
      <alignment horizontal="right" vertical="center" wrapText="1" indent="1"/>
    </xf>
    <xf numFmtId="0" fontId="3" fillId="3" borderId="1" xfId="0" applyFont="1" applyFill="1" applyBorder="1" applyAlignment="1">
      <alignment horizontal="right" vertical="center" wrapText="1" indent="1"/>
    </xf>
    <xf numFmtId="0" fontId="2" fillId="2" borderId="1" xfId="0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center" vertical="center"/>
    </xf>
    <xf numFmtId="9" fontId="3" fillId="2" borderId="1" xfId="0" applyNumberFormat="1" applyFont="1" applyFill="1" applyBorder="1" applyAlignment="1">
      <alignment horizontal="right" vertical="center" wrapText="1" inden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right" vertical="center" wrapText="1" indent="1"/>
    </xf>
    <xf numFmtId="0" fontId="3" fillId="3" borderId="2" xfId="0" applyFont="1" applyFill="1" applyBorder="1" applyAlignment="1">
      <alignment horizontal="right" vertical="center" wrapText="1" indent="1"/>
    </xf>
    <xf numFmtId="0" fontId="2" fillId="2" borderId="2" xfId="0" applyFont="1" applyFill="1" applyBorder="1" applyAlignment="1">
      <alignment horizontal="left" vertical="center" wrapText="1" indent="1"/>
    </xf>
    <xf numFmtId="0" fontId="7" fillId="4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right" vertical="center"/>
    </xf>
    <xf numFmtId="0" fontId="8" fillId="4" borderId="2" xfId="0" applyFont="1" applyFill="1" applyBorder="1" applyAlignment="1">
      <alignment horizontal="center" vertical="center"/>
    </xf>
    <xf numFmtId="9" fontId="3" fillId="2" borderId="2" xfId="0" applyNumberFormat="1" applyFont="1" applyFill="1" applyBorder="1" applyAlignment="1">
      <alignment horizontal="right" vertical="center" wrapText="1" inden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right" vertical="center" wrapText="1" indent="1"/>
    </xf>
    <xf numFmtId="0" fontId="9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7D104-1502-4CB7-8091-5B63BC0EFB63}">
  <dimension ref="A1:D7"/>
  <sheetViews>
    <sheetView tabSelected="1" workbookViewId="0">
      <selection activeCell="G24" sqref="G24"/>
    </sheetView>
  </sheetViews>
  <sheetFormatPr defaultRowHeight="15" x14ac:dyDescent="0.25"/>
  <cols>
    <col min="1" max="1" width="10.5703125" customWidth="1"/>
    <col min="2" max="2" width="10.42578125" bestFit="1" customWidth="1"/>
    <col min="3" max="3" width="14.42578125" customWidth="1"/>
    <col min="4" max="4" width="13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s="1" t="s">
        <v>4</v>
      </c>
      <c r="C2">
        <v>78</v>
      </c>
      <c r="D2" t="str">
        <f>IF(C2&gt;=35,"Pass","Fail")</f>
        <v>Pass</v>
      </c>
    </row>
    <row r="3" spans="1:4" x14ac:dyDescent="0.25">
      <c r="A3">
        <v>2</v>
      </c>
      <c r="B3" s="1" t="s">
        <v>5</v>
      </c>
      <c r="C3">
        <v>35</v>
      </c>
      <c r="D3" t="str">
        <f>IF(C3&gt;40,"PASS","FAIL")</f>
        <v>FAIL</v>
      </c>
    </row>
    <row r="4" spans="1:4" x14ac:dyDescent="0.25">
      <c r="A4">
        <v>3</v>
      </c>
      <c r="B4" s="1" t="s">
        <v>6</v>
      </c>
      <c r="C4">
        <v>62</v>
      </c>
      <c r="D4" t="str">
        <f>IF(C4&gt;60,"PASS","FAIL")</f>
        <v>PASS</v>
      </c>
    </row>
    <row r="5" spans="1:4" x14ac:dyDescent="0.25">
      <c r="A5">
        <v>4</v>
      </c>
      <c r="B5" s="1" t="s">
        <v>7</v>
      </c>
      <c r="C5">
        <v>40</v>
      </c>
      <c r="D5" t="str">
        <f>IF(C5&gt;48,"PASS","FAIL")</f>
        <v>FAIL</v>
      </c>
    </row>
    <row r="6" spans="1:4" x14ac:dyDescent="0.25">
      <c r="A6">
        <v>5</v>
      </c>
      <c r="B6" s="1" t="s">
        <v>8</v>
      </c>
      <c r="C6">
        <v>28</v>
      </c>
      <c r="D6" t="str">
        <f t="shared" ref="D6:D7" si="0">IF(C6&gt;48,"PASS","FAIL")</f>
        <v>FAIL</v>
      </c>
    </row>
    <row r="7" spans="1:4" x14ac:dyDescent="0.25">
      <c r="A7">
        <v>6</v>
      </c>
      <c r="B7" s="1" t="s">
        <v>9</v>
      </c>
      <c r="C7">
        <v>85</v>
      </c>
      <c r="D7" t="str">
        <f t="shared" si="0"/>
        <v>PASS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7E8CC-B24F-41B9-9DA8-9157298AB593}">
  <dimension ref="A1:D7"/>
  <sheetViews>
    <sheetView workbookViewId="0">
      <selection sqref="A1:C7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10</v>
      </c>
    </row>
    <row r="2" spans="1:4" x14ac:dyDescent="0.25">
      <c r="A2">
        <v>1</v>
      </c>
      <c r="B2" s="1" t="s">
        <v>4</v>
      </c>
      <c r="C2">
        <v>78</v>
      </c>
      <c r="D2" t="str">
        <f>IF(B2&gt;=50,"a",IF(B2&gt;50="b","fail"))</f>
        <v>a</v>
      </c>
    </row>
    <row r="3" spans="1:4" x14ac:dyDescent="0.25">
      <c r="A3">
        <v>2</v>
      </c>
      <c r="B3" s="1" t="s">
        <v>5</v>
      </c>
      <c r="C3">
        <v>35</v>
      </c>
      <c r="D3" t="str">
        <f>IF(C3&gt;=40,"a",IF(C3&gt;=75,"b","fail"))</f>
        <v>fail</v>
      </c>
    </row>
    <row r="4" spans="1:4" x14ac:dyDescent="0.25">
      <c r="A4">
        <v>3</v>
      </c>
      <c r="B4" s="1" t="s">
        <v>6</v>
      </c>
      <c r="C4">
        <v>62</v>
      </c>
      <c r="D4" t="str">
        <f>IF(D3&gt;=50,"a",IF(D3&gt;=60,"b","fail"))</f>
        <v>a</v>
      </c>
    </row>
    <row r="5" spans="1:4" x14ac:dyDescent="0.25">
      <c r="A5">
        <v>4</v>
      </c>
      <c r="B5" s="1" t="s">
        <v>7</v>
      </c>
      <c r="C5">
        <v>40</v>
      </c>
      <c r="D5" t="str">
        <f t="shared" ref="D5:D7" si="0">IF(D4&gt;=50,"a",IF(D4&gt;=60,"b","fail"))</f>
        <v>a</v>
      </c>
    </row>
    <row r="6" spans="1:4" x14ac:dyDescent="0.25">
      <c r="A6">
        <v>5</v>
      </c>
      <c r="B6" s="1" t="s">
        <v>8</v>
      </c>
      <c r="C6">
        <v>28</v>
      </c>
      <c r="D6" t="str">
        <f t="shared" si="0"/>
        <v>a</v>
      </c>
    </row>
    <row r="7" spans="1:4" x14ac:dyDescent="0.25">
      <c r="A7">
        <v>6</v>
      </c>
      <c r="B7" s="1" t="s">
        <v>9</v>
      </c>
      <c r="C7">
        <v>85</v>
      </c>
      <c r="D7" t="str">
        <f t="shared" si="0"/>
        <v>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038E6-F1EE-47ED-A772-F3B845AFF5FC}">
  <dimension ref="A1:E7"/>
  <sheetViews>
    <sheetView workbookViewId="0">
      <selection activeCell="N25" sqref="N25"/>
    </sheetView>
  </sheetViews>
  <sheetFormatPr defaultRowHeight="15" x14ac:dyDescent="0.25"/>
  <cols>
    <col min="4" max="4" width="12.42578125" customWidth="1"/>
    <col min="5" max="5" width="13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17</v>
      </c>
      <c r="E1" t="s">
        <v>16</v>
      </c>
    </row>
    <row r="2" spans="1:5" x14ac:dyDescent="0.25">
      <c r="A2">
        <v>1</v>
      </c>
      <c r="B2" s="1" t="s">
        <v>11</v>
      </c>
      <c r="C2">
        <v>25</v>
      </c>
      <c r="D2">
        <v>2</v>
      </c>
      <c r="E2" t="str">
        <f>IF(AND(B2&gt;=21, C2=1), "elligible", "inellibible")</f>
        <v>inellibible</v>
      </c>
    </row>
    <row r="3" spans="1:5" x14ac:dyDescent="0.25">
      <c r="A3">
        <v>2</v>
      </c>
      <c r="B3" s="1" t="s">
        <v>12</v>
      </c>
      <c r="C3">
        <v>19</v>
      </c>
      <c r="D3">
        <v>1</v>
      </c>
    </row>
    <row r="4" spans="1:5" x14ac:dyDescent="0.25">
      <c r="A4">
        <v>3</v>
      </c>
      <c r="B4" s="1" t="s">
        <v>13</v>
      </c>
      <c r="C4">
        <v>30</v>
      </c>
      <c r="D4">
        <v>5</v>
      </c>
    </row>
    <row r="5" spans="1:5" x14ac:dyDescent="0.25">
      <c r="A5">
        <v>4</v>
      </c>
      <c r="B5" s="1" t="s">
        <v>14</v>
      </c>
      <c r="C5">
        <v>22</v>
      </c>
      <c r="D5">
        <v>0</v>
      </c>
    </row>
    <row r="6" spans="1:5" x14ac:dyDescent="0.25">
      <c r="A6">
        <v>5</v>
      </c>
      <c r="B6" s="1" t="s">
        <v>15</v>
      </c>
      <c r="C6">
        <v>28</v>
      </c>
      <c r="D6">
        <v>3</v>
      </c>
    </row>
    <row r="7" spans="1:5" x14ac:dyDescent="0.25">
      <c r="A7">
        <v>6</v>
      </c>
      <c r="B7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733C9-4E88-4E7D-84CD-0EC91E8CA284}">
  <dimension ref="A1:E5"/>
  <sheetViews>
    <sheetView workbookViewId="0">
      <selection activeCell="C30" sqref="C30"/>
    </sheetView>
  </sheetViews>
  <sheetFormatPr defaultRowHeight="15" x14ac:dyDescent="0.25"/>
  <cols>
    <col min="1" max="1" width="15.7109375" customWidth="1"/>
    <col min="2" max="2" width="19.5703125" customWidth="1"/>
    <col min="3" max="3" width="22.42578125" customWidth="1"/>
    <col min="4" max="4" width="19.5703125" customWidth="1"/>
    <col min="5" max="5" width="13.140625" customWidth="1"/>
    <col min="6" max="6" width="21" customWidth="1"/>
  </cols>
  <sheetData>
    <row r="1" spans="1:5" ht="17.25" x14ac:dyDescent="0.25">
      <c r="A1" s="7" t="s">
        <v>28</v>
      </c>
      <c r="B1" s="8" t="s">
        <v>18</v>
      </c>
      <c r="C1" s="8" t="s">
        <v>19</v>
      </c>
      <c r="D1" s="8" t="s">
        <v>20</v>
      </c>
      <c r="E1" s="8" t="s">
        <v>21</v>
      </c>
    </row>
    <row r="2" spans="1:5" ht="17.25" x14ac:dyDescent="0.25">
      <c r="A2" s="7">
        <v>1</v>
      </c>
      <c r="B2" s="9" t="s">
        <v>22</v>
      </c>
      <c r="C2" s="9">
        <v>9000</v>
      </c>
      <c r="D2" s="9" t="s">
        <v>23</v>
      </c>
      <c r="E2" s="9"/>
    </row>
    <row r="3" spans="1:5" ht="17.25" x14ac:dyDescent="0.25">
      <c r="A3" s="7">
        <v>2</v>
      </c>
      <c r="B3" s="10" t="s">
        <v>24</v>
      </c>
      <c r="C3" s="10">
        <v>12000</v>
      </c>
      <c r="D3" s="10" t="s">
        <v>23</v>
      </c>
      <c r="E3" s="10"/>
    </row>
    <row r="4" spans="1:5" ht="17.25" x14ac:dyDescent="0.25">
      <c r="A4" s="7">
        <v>3</v>
      </c>
      <c r="B4" s="9" t="s">
        <v>25</v>
      </c>
      <c r="C4" s="9">
        <v>4000</v>
      </c>
      <c r="D4" s="9" t="s">
        <v>26</v>
      </c>
      <c r="E4" s="9"/>
    </row>
    <row r="5" spans="1:5" ht="17.25" x14ac:dyDescent="0.25">
      <c r="A5" s="7">
        <v>4</v>
      </c>
      <c r="B5" s="10" t="s">
        <v>27</v>
      </c>
      <c r="C5" s="10">
        <v>3000</v>
      </c>
      <c r="D5" s="10" t="s">
        <v>23</v>
      </c>
      <c r="E5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57211-8EC1-4075-9B19-31D053BAE464}">
  <dimension ref="A1:M27"/>
  <sheetViews>
    <sheetView workbookViewId="0">
      <selection sqref="A1:M9"/>
    </sheetView>
  </sheetViews>
  <sheetFormatPr defaultRowHeight="15" x14ac:dyDescent="0.25"/>
  <cols>
    <col min="1" max="1" width="15.42578125" customWidth="1"/>
    <col min="2" max="2" width="14" customWidth="1"/>
    <col min="3" max="3" width="15.140625" customWidth="1"/>
    <col min="4" max="4" width="12.5703125" customWidth="1"/>
    <col min="6" max="6" width="14.7109375" customWidth="1"/>
    <col min="7" max="7" width="19.28515625" customWidth="1"/>
    <col min="8" max="8" width="15.7109375" customWidth="1"/>
    <col min="9" max="9" width="12" customWidth="1"/>
    <col min="10" max="10" width="15.5703125" customWidth="1"/>
    <col min="11" max="11" width="11.42578125" customWidth="1"/>
    <col min="13" max="13" width="20" customWidth="1"/>
  </cols>
  <sheetData>
    <row r="1" spans="1:13" ht="18" thickBot="1" x14ac:dyDescent="0.3">
      <c r="A1" s="14" t="s">
        <v>29</v>
      </c>
      <c r="B1" s="6" t="s">
        <v>30</v>
      </c>
      <c r="C1" s="6" t="s">
        <v>31</v>
      </c>
      <c r="D1" s="6" t="s">
        <v>32</v>
      </c>
      <c r="E1" s="14" t="s">
        <v>33</v>
      </c>
      <c r="F1" s="14" t="s">
        <v>34</v>
      </c>
      <c r="G1" s="15"/>
    </row>
    <row r="2" spans="1:13" ht="52.5" thickBot="1" x14ac:dyDescent="0.3">
      <c r="A2" s="12" t="s">
        <v>35</v>
      </c>
      <c r="B2" s="4" t="s">
        <v>36</v>
      </c>
      <c r="C2" s="4" t="s">
        <v>37</v>
      </c>
      <c r="D2" s="4" t="s">
        <v>38</v>
      </c>
      <c r="E2" s="12">
        <v>45000</v>
      </c>
      <c r="F2" s="12">
        <v>2019</v>
      </c>
    </row>
    <row r="3" spans="1:13" ht="52.5" thickBot="1" x14ac:dyDescent="0.3">
      <c r="A3" s="13" t="s">
        <v>39</v>
      </c>
      <c r="B3" s="5" t="s">
        <v>40</v>
      </c>
      <c r="C3" s="5" t="s">
        <v>41</v>
      </c>
      <c r="D3" s="5" t="s">
        <v>42</v>
      </c>
      <c r="E3" s="13">
        <v>52000</v>
      </c>
      <c r="F3" s="13">
        <v>2018</v>
      </c>
    </row>
    <row r="4" spans="1:13" ht="35.25" thickBot="1" x14ac:dyDescent="0.3">
      <c r="A4" s="12" t="s">
        <v>43</v>
      </c>
      <c r="B4" s="4" t="s">
        <v>44</v>
      </c>
      <c r="C4" s="4" t="s">
        <v>45</v>
      </c>
      <c r="D4" s="4" t="s">
        <v>46</v>
      </c>
      <c r="E4" s="12">
        <v>65000</v>
      </c>
      <c r="F4" s="12">
        <v>2020</v>
      </c>
    </row>
    <row r="5" spans="1:13" ht="35.25" thickBot="1" x14ac:dyDescent="0.3">
      <c r="A5" s="13" t="s">
        <v>47</v>
      </c>
      <c r="B5" s="5" t="s">
        <v>48</v>
      </c>
      <c r="C5" s="5" t="s">
        <v>49</v>
      </c>
      <c r="D5" s="5" t="s">
        <v>50</v>
      </c>
      <c r="E5" s="13">
        <v>58000</v>
      </c>
      <c r="F5" s="13">
        <v>2017</v>
      </c>
    </row>
    <row r="6" spans="1:13" ht="35.25" thickBot="1" x14ac:dyDescent="0.3">
      <c r="A6" s="12" t="s">
        <v>51</v>
      </c>
      <c r="B6" s="4" t="s">
        <v>52</v>
      </c>
      <c r="C6" s="4" t="s">
        <v>53</v>
      </c>
      <c r="D6" s="4" t="s">
        <v>38</v>
      </c>
      <c r="E6" s="12">
        <v>48000</v>
      </c>
      <c r="F6" s="12">
        <v>2021</v>
      </c>
      <c r="H6" s="2" t="s">
        <v>31</v>
      </c>
      <c r="I6" s="11" t="s">
        <v>37</v>
      </c>
      <c r="J6" s="11" t="s">
        <v>41</v>
      </c>
      <c r="K6" s="11" t="s">
        <v>45</v>
      </c>
      <c r="L6" s="11" t="s">
        <v>49</v>
      </c>
      <c r="M6" s="11" t="s">
        <v>53</v>
      </c>
    </row>
    <row r="7" spans="1:13" ht="35.25" thickBot="1" x14ac:dyDescent="0.3">
      <c r="A7" s="13" t="s">
        <v>54</v>
      </c>
      <c r="B7" s="5" t="s">
        <v>55</v>
      </c>
      <c r="C7" s="5" t="s">
        <v>45</v>
      </c>
      <c r="D7" s="5" t="s">
        <v>56</v>
      </c>
      <c r="E7" s="13">
        <v>62000</v>
      </c>
      <c r="F7" s="13">
        <v>2019</v>
      </c>
      <c r="H7" s="4" t="s">
        <v>62</v>
      </c>
      <c r="I7" s="16">
        <v>0.1</v>
      </c>
      <c r="J7" s="16">
        <v>0.08</v>
      </c>
      <c r="K7" s="16">
        <v>0.12</v>
      </c>
      <c r="L7" s="16">
        <v>0.15</v>
      </c>
      <c r="M7" s="16">
        <v>0.09</v>
      </c>
    </row>
    <row r="8" spans="1:13" ht="35.25" thickBot="1" x14ac:dyDescent="0.3">
      <c r="A8" s="12" t="s">
        <v>57</v>
      </c>
      <c r="B8" s="4" t="s">
        <v>58</v>
      </c>
      <c r="C8" s="4" t="s">
        <v>37</v>
      </c>
      <c r="D8" s="4" t="s">
        <v>59</v>
      </c>
      <c r="E8" s="12">
        <v>47000</v>
      </c>
      <c r="F8" s="12">
        <v>2020</v>
      </c>
    </row>
    <row r="9" spans="1:13" ht="18" thickBot="1" x14ac:dyDescent="0.3">
      <c r="A9" s="13" t="s">
        <v>60</v>
      </c>
      <c r="B9" s="5" t="s">
        <v>61</v>
      </c>
      <c r="C9" s="5" t="s">
        <v>41</v>
      </c>
      <c r="D9" s="5" t="s">
        <v>46</v>
      </c>
      <c r="E9" s="13">
        <v>54000</v>
      </c>
      <c r="F9" s="13">
        <v>2016</v>
      </c>
    </row>
    <row r="11" spans="1:13" ht="15.75" thickBot="1" x14ac:dyDescent="0.3">
      <c r="C11" s="18" t="s">
        <v>63</v>
      </c>
    </row>
    <row r="12" spans="1:13" ht="18" thickBot="1" x14ac:dyDescent="0.3">
      <c r="A12" s="17" t="s">
        <v>29</v>
      </c>
      <c r="B12" s="17" t="s">
        <v>30</v>
      </c>
      <c r="C12" s="6" t="s">
        <v>31</v>
      </c>
      <c r="D12" s="6" t="s">
        <v>32</v>
      </c>
      <c r="E12" s="14" t="s">
        <v>33</v>
      </c>
      <c r="F12" s="14" t="s">
        <v>34</v>
      </c>
    </row>
    <row r="13" spans="1:13" ht="35.25" thickBot="1" x14ac:dyDescent="0.3">
      <c r="A13" s="3" t="s">
        <v>47</v>
      </c>
      <c r="B13" s="4" t="str">
        <f>VLOOKUP(A13,A1:F9,2,0)</f>
        <v>Neha Singh</v>
      </c>
      <c r="C13" t="str">
        <f>VLOOKUP(A13,A1:F9,3,0)</f>
        <v>Finance</v>
      </c>
      <c r="D13" t="str">
        <f>VLOOKUP(B13,B1:G9,3,0)</f>
        <v>Pune</v>
      </c>
      <c r="E13">
        <f t="shared" ref="E13:F13" si="0">VLOOKUP(C13,C1:H9,3,0)</f>
        <v>58000</v>
      </c>
      <c r="F13">
        <f t="shared" si="0"/>
        <v>2017</v>
      </c>
    </row>
    <row r="15" spans="1:13" ht="15.75" thickBot="1" x14ac:dyDescent="0.3">
      <c r="C15" s="19" t="s">
        <v>64</v>
      </c>
    </row>
    <row r="16" spans="1:13" ht="18" thickBot="1" x14ac:dyDescent="0.3">
      <c r="A16" s="17" t="s">
        <v>29</v>
      </c>
      <c r="B16" s="17" t="s">
        <v>30</v>
      </c>
      <c r="C16" s="6" t="s">
        <v>31</v>
      </c>
      <c r="D16" s="6" t="s">
        <v>32</v>
      </c>
      <c r="E16" s="14" t="s">
        <v>33</v>
      </c>
      <c r="F16" s="14" t="s">
        <v>34</v>
      </c>
    </row>
    <row r="17" spans="1:6" ht="18" thickBot="1" x14ac:dyDescent="0.3">
      <c r="A17" s="3">
        <v>107</v>
      </c>
      <c r="B17" s="4" t="s">
        <v>58</v>
      </c>
      <c r="C17" t="e">
        <f>VLOOKUP(A17,A1:F9,3,0)</f>
        <v>#N/A</v>
      </c>
      <c r="D17" t="s">
        <v>59</v>
      </c>
      <c r="E17">
        <v>47000</v>
      </c>
      <c r="F17">
        <v>2020</v>
      </c>
    </row>
    <row r="18" spans="1:6" ht="15.75" thickBot="1" x14ac:dyDescent="0.3">
      <c r="C18" s="18" t="s">
        <v>65</v>
      </c>
    </row>
    <row r="19" spans="1:6" ht="18" thickBot="1" x14ac:dyDescent="0.3">
      <c r="A19" s="17" t="s">
        <v>29</v>
      </c>
      <c r="B19" s="17" t="s">
        <v>30</v>
      </c>
      <c r="C19" s="6" t="s">
        <v>31</v>
      </c>
      <c r="D19" s="6" t="s">
        <v>32</v>
      </c>
      <c r="E19" s="14" t="s">
        <v>33</v>
      </c>
      <c r="F19" s="14" t="s">
        <v>34</v>
      </c>
    </row>
    <row r="20" spans="1:6" ht="18" thickBot="1" x14ac:dyDescent="0.3">
      <c r="A20" s="3" t="s">
        <v>51</v>
      </c>
      <c r="B20" s="4" t="str">
        <f>VLOOKUP(A20,A5:F12,4,0)</f>
        <v>Mumbai</v>
      </c>
      <c r="C20" t="e">
        <f>VLOOKUP(A20,A8:F16,3,0)</f>
        <v>#N/A</v>
      </c>
      <c r="D20" t="e">
        <f>VLOOKUP(A20,B8:G16,3,0)</f>
        <v>#N/A</v>
      </c>
      <c r="E20">
        <f>VLOOKUP(A20,A1:F9,5,0)</f>
        <v>48000</v>
      </c>
      <c r="F20" t="e">
        <f t="shared" ref="F20" si="1">VLOOKUP(D20,D8:I16,3,0)</f>
        <v>#N/A</v>
      </c>
    </row>
    <row r="21" spans="1:6" ht="15.75" thickBot="1" x14ac:dyDescent="0.3">
      <c r="C21" s="18" t="s">
        <v>66</v>
      </c>
    </row>
    <row r="22" spans="1:6" ht="18" thickBot="1" x14ac:dyDescent="0.3">
      <c r="A22" s="17" t="s">
        <v>29</v>
      </c>
      <c r="B22" s="17" t="s">
        <v>30</v>
      </c>
      <c r="C22" s="6" t="s">
        <v>31</v>
      </c>
      <c r="D22" s="6" t="s">
        <v>32</v>
      </c>
      <c r="E22" s="14" t="s">
        <v>33</v>
      </c>
      <c r="F22" s="14" t="s">
        <v>34</v>
      </c>
    </row>
    <row r="23" spans="1:6" ht="35.25" thickBot="1" x14ac:dyDescent="0.3">
      <c r="A23" s="3" t="s">
        <v>47</v>
      </c>
      <c r="B23" s="4" t="str">
        <f>VLOOKUP(A23,A11:F19,2,0)</f>
        <v>Neha Singh</v>
      </c>
      <c r="C23" t="str">
        <f>VLOOKUP(A23,A11:F19,3,0)</f>
        <v>Finance</v>
      </c>
      <c r="D23" t="str">
        <f>VLOOKUP(B23,B11:G19,3,0)</f>
        <v>Pune</v>
      </c>
      <c r="E23">
        <f t="shared" ref="E23" si="2">VLOOKUP(C23,C11:H19,3,0)</f>
        <v>58000</v>
      </c>
      <c r="F23">
        <f t="shared" ref="F23" si="3">VLOOKUP(D23,D11:I19,3,0)</f>
        <v>2017</v>
      </c>
    </row>
    <row r="24" spans="1:6" x14ac:dyDescent="0.25">
      <c r="C24" t="str">
        <f>IFERROR(VLOOKUP(A32,A1:F9,1,0),"NOT FOUND")</f>
        <v>NOT FOUND</v>
      </c>
    </row>
    <row r="25" spans="1:6" ht="15.75" thickBot="1" x14ac:dyDescent="0.3">
      <c r="C25" t="s">
        <v>67</v>
      </c>
    </row>
    <row r="26" spans="1:6" ht="18" thickBot="1" x14ac:dyDescent="0.3">
      <c r="A26" s="17" t="s">
        <v>29</v>
      </c>
      <c r="B26" s="17" t="s">
        <v>30</v>
      </c>
      <c r="C26" s="6" t="s">
        <v>31</v>
      </c>
      <c r="D26" s="6" t="s">
        <v>32</v>
      </c>
      <c r="E26" s="14" t="s">
        <v>33</v>
      </c>
      <c r="F26" s="14" t="s">
        <v>34</v>
      </c>
    </row>
    <row r="27" spans="1:6" x14ac:dyDescent="0.25">
      <c r="A27" t="s">
        <v>43</v>
      </c>
      <c r="B27" t="s">
        <v>44</v>
      </c>
      <c r="C27" t="s">
        <v>45</v>
      </c>
      <c r="D27" t="s">
        <v>68</v>
      </c>
      <c r="E27">
        <v>65000</v>
      </c>
      <c r="F27">
        <f>(VLOOKUP(A27,A1:F9,6,0))</f>
        <v>2020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42794-0049-46D3-AC8B-2E7E321ACABB}">
  <dimension ref="A1:M12"/>
  <sheetViews>
    <sheetView workbookViewId="0">
      <selection activeCell="C13" sqref="C13"/>
    </sheetView>
  </sheetViews>
  <sheetFormatPr defaultRowHeight="15" x14ac:dyDescent="0.25"/>
  <cols>
    <col min="1" max="1" width="15.28515625" customWidth="1"/>
    <col min="2" max="2" width="17.42578125" customWidth="1"/>
    <col min="3" max="3" width="14" customWidth="1"/>
    <col min="4" max="4" width="12.85546875" customWidth="1"/>
    <col min="6" max="6" width="16.5703125" customWidth="1"/>
    <col min="8" max="8" width="13.28515625" customWidth="1"/>
    <col min="12" max="12" width="10.85546875" customWidth="1"/>
    <col min="13" max="13" width="13.28515625" customWidth="1"/>
  </cols>
  <sheetData>
    <row r="1" spans="1:13" ht="17.25" x14ac:dyDescent="0.25">
      <c r="A1" s="25" t="s">
        <v>29</v>
      </c>
      <c r="B1" s="26" t="s">
        <v>30</v>
      </c>
      <c r="C1" s="26" t="s">
        <v>31</v>
      </c>
      <c r="D1" s="26" t="s">
        <v>32</v>
      </c>
      <c r="E1" s="25" t="s">
        <v>33</v>
      </c>
      <c r="F1" s="25" t="s">
        <v>34</v>
      </c>
      <c r="G1" s="20"/>
    </row>
    <row r="2" spans="1:13" ht="17.25" x14ac:dyDescent="0.25">
      <c r="A2" s="21" t="s">
        <v>35</v>
      </c>
      <c r="B2" s="9" t="s">
        <v>36</v>
      </c>
      <c r="C2" s="9" t="s">
        <v>37</v>
      </c>
      <c r="D2" s="9" t="s">
        <v>38</v>
      </c>
      <c r="E2" s="21">
        <v>45000</v>
      </c>
      <c r="F2" s="21">
        <v>2019</v>
      </c>
    </row>
    <row r="3" spans="1:13" ht="17.25" x14ac:dyDescent="0.25">
      <c r="A3" s="22" t="s">
        <v>39</v>
      </c>
      <c r="B3" s="10" t="s">
        <v>40</v>
      </c>
      <c r="C3" s="10" t="s">
        <v>41</v>
      </c>
      <c r="D3" s="10" t="s">
        <v>42</v>
      </c>
      <c r="E3" s="22">
        <v>52000</v>
      </c>
      <c r="F3" s="22">
        <v>2018</v>
      </c>
    </row>
    <row r="4" spans="1:13" ht="17.25" x14ac:dyDescent="0.25">
      <c r="A4" s="21" t="s">
        <v>43</v>
      </c>
      <c r="B4" s="9" t="s">
        <v>44</v>
      </c>
      <c r="C4" s="9" t="s">
        <v>45</v>
      </c>
      <c r="D4" s="9" t="s">
        <v>46</v>
      </c>
      <c r="E4" s="21">
        <v>65000</v>
      </c>
      <c r="F4" s="21">
        <v>2020</v>
      </c>
    </row>
    <row r="5" spans="1:13" ht="17.25" x14ac:dyDescent="0.25">
      <c r="A5" s="22" t="s">
        <v>47</v>
      </c>
      <c r="B5" s="10" t="s">
        <v>48</v>
      </c>
      <c r="C5" s="10" t="s">
        <v>49</v>
      </c>
      <c r="D5" s="10" t="s">
        <v>50</v>
      </c>
      <c r="E5" s="22">
        <v>58000</v>
      </c>
      <c r="F5" s="22">
        <v>2017</v>
      </c>
    </row>
    <row r="6" spans="1:13" ht="17.25" x14ac:dyDescent="0.25">
      <c r="A6" s="21" t="s">
        <v>51</v>
      </c>
      <c r="B6" s="9" t="s">
        <v>52</v>
      </c>
      <c r="C6" s="9" t="s">
        <v>53</v>
      </c>
      <c r="D6" s="9" t="s">
        <v>38</v>
      </c>
      <c r="E6" s="21">
        <v>48000</v>
      </c>
      <c r="F6" s="21">
        <v>2021</v>
      </c>
      <c r="H6" s="28" t="s">
        <v>31</v>
      </c>
      <c r="I6" s="29" t="s">
        <v>37</v>
      </c>
      <c r="J6" s="29" t="s">
        <v>41</v>
      </c>
      <c r="K6" s="29" t="s">
        <v>45</v>
      </c>
      <c r="L6" s="29" t="s">
        <v>49</v>
      </c>
      <c r="M6" s="29" t="s">
        <v>53</v>
      </c>
    </row>
    <row r="7" spans="1:13" ht="17.25" x14ac:dyDescent="0.25">
      <c r="A7" s="22" t="s">
        <v>54</v>
      </c>
      <c r="B7" s="10" t="s">
        <v>55</v>
      </c>
      <c r="C7" s="10" t="s">
        <v>45</v>
      </c>
      <c r="D7" s="10" t="s">
        <v>56</v>
      </c>
      <c r="E7" s="22">
        <v>62000</v>
      </c>
      <c r="F7" s="22">
        <v>2019</v>
      </c>
      <c r="H7" s="9" t="s">
        <v>62</v>
      </c>
      <c r="I7" s="27">
        <v>0.1</v>
      </c>
      <c r="J7" s="27">
        <v>0.08</v>
      </c>
      <c r="K7" s="27">
        <v>0.12</v>
      </c>
      <c r="L7" s="27">
        <v>0.15</v>
      </c>
      <c r="M7" s="27">
        <v>0.09</v>
      </c>
    </row>
    <row r="8" spans="1:13" ht="34.5" x14ac:dyDescent="0.25">
      <c r="A8" s="21" t="s">
        <v>57</v>
      </c>
      <c r="B8" s="9" t="s">
        <v>58</v>
      </c>
      <c r="C8" s="9" t="s">
        <v>37</v>
      </c>
      <c r="D8" s="9" t="s">
        <v>59</v>
      </c>
      <c r="E8" s="21">
        <v>47000</v>
      </c>
      <c r="F8" s="21">
        <v>2020</v>
      </c>
    </row>
    <row r="9" spans="1:13" ht="17.25" x14ac:dyDescent="0.25">
      <c r="A9" s="22" t="s">
        <v>60</v>
      </c>
      <c r="B9" s="10" t="s">
        <v>61</v>
      </c>
      <c r="C9" s="10" t="s">
        <v>41</v>
      </c>
      <c r="D9" s="10" t="s">
        <v>46</v>
      </c>
      <c r="E9" s="22">
        <v>54000</v>
      </c>
      <c r="F9" s="22">
        <v>2016</v>
      </c>
    </row>
    <row r="11" spans="1:13" ht="17.25" x14ac:dyDescent="0.25">
      <c r="A11" s="24" t="s">
        <v>29</v>
      </c>
      <c r="B11" s="24" t="s">
        <v>30</v>
      </c>
      <c r="E11" t="s">
        <v>64</v>
      </c>
      <c r="F11" t="s">
        <v>69</v>
      </c>
    </row>
    <row r="12" spans="1:13" ht="17.25" x14ac:dyDescent="0.25">
      <c r="A12" s="23" t="s">
        <v>43</v>
      </c>
      <c r="B12" s="23" t="s">
        <v>44</v>
      </c>
      <c r="C12" t="e">
        <f>VLOOKUP(E12,H7:M7,9,0)</f>
        <v>#N/A</v>
      </c>
      <c r="E12" t="s">
        <v>41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0AF7C-E451-495D-842F-BE5D5D8AC9C6}">
  <dimension ref="A1:H22"/>
  <sheetViews>
    <sheetView workbookViewId="0">
      <selection activeCell="E15" sqref="E15"/>
    </sheetView>
  </sheetViews>
  <sheetFormatPr defaultRowHeight="15" x14ac:dyDescent="0.25"/>
  <cols>
    <col min="1" max="1" width="12.5703125" customWidth="1"/>
    <col min="2" max="2" width="13.28515625" customWidth="1"/>
    <col min="5" max="5" width="9" customWidth="1"/>
    <col min="6" max="6" width="10.7109375" customWidth="1"/>
  </cols>
  <sheetData>
    <row r="1" spans="1:8" ht="30.75" thickBot="1" x14ac:dyDescent="0.3">
      <c r="A1" s="30" t="s">
        <v>70</v>
      </c>
      <c r="B1" s="30" t="s">
        <v>71</v>
      </c>
      <c r="C1" s="30" t="s">
        <v>72</v>
      </c>
      <c r="D1" s="30" t="s">
        <v>73</v>
      </c>
      <c r="E1" s="30" t="s">
        <v>74</v>
      </c>
      <c r="F1" s="30" t="s">
        <v>75</v>
      </c>
    </row>
    <row r="2" spans="1:8" ht="15.75" thickBot="1" x14ac:dyDescent="0.3">
      <c r="A2" s="3">
        <v>1001</v>
      </c>
      <c r="B2" s="3" t="s">
        <v>76</v>
      </c>
      <c r="C2" s="3" t="s">
        <v>77</v>
      </c>
      <c r="D2" s="3" t="s">
        <v>78</v>
      </c>
      <c r="E2" s="3">
        <v>55000</v>
      </c>
      <c r="F2" s="3">
        <v>2</v>
      </c>
    </row>
    <row r="3" spans="1:8" ht="15.75" thickBot="1" x14ac:dyDescent="0.3">
      <c r="A3" s="31">
        <v>1002</v>
      </c>
      <c r="B3" s="31" t="s">
        <v>79</v>
      </c>
      <c r="C3" s="31" t="s">
        <v>80</v>
      </c>
      <c r="D3" s="31" t="s">
        <v>81</v>
      </c>
      <c r="E3" s="31">
        <v>20000</v>
      </c>
      <c r="F3" s="31">
        <v>5</v>
      </c>
    </row>
    <row r="4" spans="1:8" ht="15.75" thickBot="1" x14ac:dyDescent="0.3">
      <c r="A4" s="3">
        <v>1003</v>
      </c>
      <c r="B4" s="3" t="s">
        <v>82</v>
      </c>
      <c r="C4" s="3" t="s">
        <v>83</v>
      </c>
      <c r="D4" s="3" t="s">
        <v>84</v>
      </c>
      <c r="E4" s="3">
        <v>30000</v>
      </c>
      <c r="F4" s="3">
        <v>3</v>
      </c>
    </row>
    <row r="5" spans="1:8" ht="15.75" thickBot="1" x14ac:dyDescent="0.3">
      <c r="A5" s="31">
        <v>1004</v>
      </c>
      <c r="B5" s="31" t="s">
        <v>85</v>
      </c>
      <c r="C5" s="31" t="s">
        <v>77</v>
      </c>
      <c r="D5" s="31" t="s">
        <v>78</v>
      </c>
      <c r="E5" s="31">
        <v>60000</v>
      </c>
      <c r="F5" s="31">
        <v>2</v>
      </c>
    </row>
    <row r="6" spans="1:8" ht="15.75" thickBot="1" x14ac:dyDescent="0.3">
      <c r="A6" s="3">
        <v>1005</v>
      </c>
      <c r="B6" s="3" t="s">
        <v>86</v>
      </c>
      <c r="C6" s="3" t="s">
        <v>87</v>
      </c>
      <c r="D6" s="3" t="s">
        <v>81</v>
      </c>
      <c r="E6" s="3">
        <v>18000</v>
      </c>
      <c r="F6" s="3">
        <v>4</v>
      </c>
    </row>
    <row r="7" spans="1:8" ht="15.75" thickBot="1" x14ac:dyDescent="0.3">
      <c r="A7" s="31">
        <v>1006</v>
      </c>
      <c r="B7" s="31" t="s">
        <v>88</v>
      </c>
      <c r="C7" s="31" t="s">
        <v>80</v>
      </c>
      <c r="D7" s="31" t="s">
        <v>78</v>
      </c>
      <c r="E7" s="31">
        <v>75000</v>
      </c>
      <c r="F7" s="31">
        <v>3</v>
      </c>
    </row>
    <row r="8" spans="1:8" ht="15.75" thickBot="1" x14ac:dyDescent="0.3">
      <c r="A8" s="3">
        <v>1007</v>
      </c>
      <c r="B8" s="3" t="s">
        <v>89</v>
      </c>
      <c r="C8" s="3" t="s">
        <v>83</v>
      </c>
      <c r="D8" s="3" t="s">
        <v>81</v>
      </c>
      <c r="E8" s="3">
        <v>22000</v>
      </c>
      <c r="F8" s="3">
        <v>6</v>
      </c>
    </row>
    <row r="9" spans="1:8" ht="15.75" thickBot="1" x14ac:dyDescent="0.3">
      <c r="A9" s="31">
        <v>1008</v>
      </c>
      <c r="B9" s="31" t="s">
        <v>90</v>
      </c>
      <c r="C9" s="31" t="s">
        <v>87</v>
      </c>
      <c r="D9" s="31" t="s">
        <v>84</v>
      </c>
      <c r="E9" s="31">
        <v>28000</v>
      </c>
      <c r="F9" s="31">
        <v>2</v>
      </c>
    </row>
    <row r="10" spans="1:8" ht="15.75" thickBot="1" x14ac:dyDescent="0.3">
      <c r="A10" s="3">
        <v>1009</v>
      </c>
      <c r="B10" s="3" t="s">
        <v>91</v>
      </c>
      <c r="C10" s="3" t="s">
        <v>77</v>
      </c>
      <c r="D10" s="3" t="s">
        <v>81</v>
      </c>
      <c r="E10" s="3">
        <v>25000</v>
      </c>
      <c r="F10" s="3">
        <v>5</v>
      </c>
    </row>
    <row r="11" spans="1:8" ht="15.75" thickBot="1" x14ac:dyDescent="0.3">
      <c r="A11" s="31">
        <v>1010</v>
      </c>
      <c r="B11" s="31" t="s">
        <v>92</v>
      </c>
      <c r="C11" s="31" t="s">
        <v>80</v>
      </c>
      <c r="D11" s="31" t="s">
        <v>84</v>
      </c>
      <c r="E11" s="31">
        <v>32000</v>
      </c>
      <c r="F11" s="31">
        <v>3</v>
      </c>
    </row>
    <row r="12" spans="1:8" x14ac:dyDescent="0.25">
      <c r="E12">
        <f>SUM(E2:E11)</f>
        <v>365000</v>
      </c>
      <c r="F12">
        <f>SUM(F2:F11)</f>
        <v>35</v>
      </c>
      <c r="H12" t="s">
        <v>96</v>
      </c>
    </row>
    <row r="14" spans="1:8" x14ac:dyDescent="0.25">
      <c r="E14">
        <f>SUMIF(C2:C11,"WEST",E2:E11)</f>
        <v>140000</v>
      </c>
      <c r="H14" t="s">
        <v>93</v>
      </c>
    </row>
    <row r="16" spans="1:8" x14ac:dyDescent="0.25">
      <c r="E16">
        <f>SUMIFS(E2:E11,C2:C11,"North",D2:D11,"Laptop")</f>
        <v>75000</v>
      </c>
      <c r="H16" t="s">
        <v>94</v>
      </c>
    </row>
    <row r="18" spans="5:8" x14ac:dyDescent="0.25">
      <c r="E18">
        <f>AVERAGE(E2:E11)</f>
        <v>36500</v>
      </c>
      <c r="H18" t="s">
        <v>94</v>
      </c>
    </row>
    <row r="20" spans="5:8" x14ac:dyDescent="0.25">
      <c r="E20">
        <f>AVERAGE(F2:F11)</f>
        <v>3.5</v>
      </c>
      <c r="H20" t="s">
        <v>95</v>
      </c>
    </row>
    <row r="22" spans="5:8" x14ac:dyDescent="0.25">
      <c r="E22" t="e">
        <f>AVERAGEIF(E2:E11,"East",C2:C11)</f>
        <v>#DIV/0!</v>
      </c>
      <c r="H22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Task 1 IF</vt:lpstr>
      <vt:lpstr>TASK 2 IF</vt:lpstr>
      <vt:lpstr>TASK 3 END</vt:lpstr>
      <vt:lpstr>task 6 discount</vt:lpstr>
      <vt:lpstr>V LOOKUP</vt:lpstr>
      <vt:lpstr>h look up</vt:lpstr>
      <vt:lpstr>SUM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ASDC34</dc:creator>
  <cp:lastModifiedBy>ASDC34</cp:lastModifiedBy>
  <dcterms:created xsi:type="dcterms:W3CDTF">2026-03-30T13:30:00Z</dcterms:created>
  <dcterms:modified xsi:type="dcterms:W3CDTF">2026-04-06T13:00:58Z</dcterms:modified>
</cp:coreProperties>
</file>